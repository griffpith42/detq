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 Calculator" sheetId="1" state="visible" r:id="rId3"/>
    <sheet name="3-Year Projection" sheetId="2" state="visible" r:id="rId4"/>
    <sheet name="Scenario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<sst xmlns="http://schemas.openxmlformats.org/spreadsheetml/2006/main" count="108" uniqueCount="84">
  <si>
    <t xml:space="preserve">DetQ — ROI Calculator | Analyst Time &amp; Cost Impact Model</t>
  </si>
  <si>
    <t xml:space="preserve">  A.  Team &amp; Workflow Inputs   (blue cells = change these)</t>
  </si>
  <si>
    <t xml:space="preserve">Input</t>
  </si>
  <si>
    <t xml:space="preserve">Value</t>
  </si>
  <si>
    <t xml:space="preserve">Unit</t>
  </si>
  <si>
    <t xml:space="preserve">Notes / Guidance</t>
  </si>
  <si>
    <t xml:space="preserve">Number of analysts</t>
  </si>
  <si>
    <t xml:space="preserve">analysts</t>
  </si>
  <si>
    <t xml:space="preserve">Headcount using the query system</t>
  </si>
  <si>
    <t xml:space="preserve">Working days per year</t>
  </si>
  <si>
    <t xml:space="preserve">days</t>
  </si>
  <si>
    <t xml:space="preserve">Typical: 250 days</t>
  </si>
  <si>
    <t xml:space="preserve">Data queries per analyst per day</t>
  </si>
  <si>
    <t xml:space="preserve">queries/day</t>
  </si>
  <si>
    <t xml:space="preserve">Average queries run manually today</t>
  </si>
  <si>
    <t xml:space="preserve">Avg time per query TODAY (minutes)</t>
  </si>
  <si>
    <t xml:space="preserve">minutes</t>
  </si>
  <si>
    <t xml:space="preserve">Range is typically 5–45 min</t>
  </si>
  <si>
    <t xml:space="preserve">Avg time per query WITH DetQ (minutes)</t>
  </si>
  <si>
    <t xml:space="preserve">Typically &lt;1 min; use 1 as conservative</t>
  </si>
  <si>
    <t xml:space="preserve">Analyst fully-loaded hourly cost ($)</t>
  </si>
  <si>
    <t xml:space="preserve">$/hour</t>
  </si>
  <si>
    <t xml:space="preserve">Salary + benefits + overhead</t>
  </si>
  <si>
    <t xml:space="preserve">  B.  Engagement Cost Inputs</t>
  </si>
  <si>
    <t xml:space="preserve">One-time engagement fee ($)</t>
  </si>
  <si>
    <t xml:space="preserve">$</t>
  </si>
  <si>
    <t xml:space="preserve">Integration, config, UAT, documentation</t>
  </si>
  <si>
    <t xml:space="preserve">Annual support / licensing fee ($)</t>
  </si>
  <si>
    <t xml:space="preserve">$/year</t>
  </si>
  <si>
    <t xml:space="preserve">Optional post-hypercare support tier</t>
  </si>
  <si>
    <t xml:space="preserve">  C.  Calculated Impact</t>
  </si>
  <si>
    <t xml:space="preserve">Metric</t>
  </si>
  <si>
    <t xml:space="preserve">Notes</t>
  </si>
  <si>
    <t xml:space="preserve">Total queries per year (firm-wide)</t>
  </si>
  <si>
    <t xml:space="preserve">queries</t>
  </si>
  <si>
    <t xml:space="preserve">Minutes saved per query</t>
  </si>
  <si>
    <t xml:space="preserve">Total analyst hours saved per year</t>
  </si>
  <si>
    <t xml:space="preserve">Dollar value of time recovered (Year 1)</t>
  </si>
  <si>
    <t xml:space="preserve">Gross annual benefit (ongoing)</t>
  </si>
  <si>
    <t xml:space="preserve">Net benefit Year 1 (after engagement fee)</t>
  </si>
  <si>
    <t xml:space="preserve">Net benefit Year 2+ (recurring)</t>
  </si>
  <si>
    <t xml:space="preserve">ROI Year 1</t>
  </si>
  <si>
    <t xml:space="preserve">Payback period (months)</t>
  </si>
  <si>
    <t xml:space="preserve">  D.  Analyst Time Reallocation</t>
  </si>
  <si>
    <t xml:space="preserve">Analyst days freed per year (firm-wide)</t>
  </si>
  <si>
    <t xml:space="preserve">Equivalent FTE headcount recovered</t>
  </si>
  <si>
    <t xml:space="preserve">% of analyst capacity freed</t>
  </si>
  <si>
    <t xml:space="preserve">Source: DetQ Engagement Model v1.0  |  Blue cells = inputs you can change  |  All other cells are formulas</t>
  </si>
  <si>
    <t xml:space="preserve">DetQ — 3-Year Financial Impact Projection</t>
  </si>
  <si>
    <t xml:space="preserve">  Inputs pulled from ROI Calculator sheet</t>
  </si>
  <si>
    <t xml:space="preserve">Year 1</t>
  </si>
  <si>
    <t xml:space="preserve">Year 2</t>
  </si>
  <si>
    <t xml:space="preserve">Year 3</t>
  </si>
  <si>
    <t xml:space="preserve">3-Year Total</t>
  </si>
  <si>
    <t xml:space="preserve">Analyst hours saved</t>
  </si>
  <si>
    <t xml:space="preserve">Gross value of time ($)</t>
  </si>
  <si>
    <t xml:space="preserve">Engagement fee ($)</t>
  </si>
  <si>
    <t xml:space="preserve">0</t>
  </si>
  <si>
    <t xml:space="preserve">Annual support fee ($)</t>
  </si>
  <si>
    <t xml:space="preserve">Total cost ($)</t>
  </si>
  <si>
    <t xml:space="preserve">Net benefit ($)</t>
  </si>
  <si>
    <t xml:space="preserve">Cumulative net benefit ($)</t>
  </si>
  <si>
    <t xml:space="preserve">ROI</t>
  </si>
  <si>
    <t xml:space="preserve">All values driven by inputs on the ROI Calculator sheet. Change inputs there to update this projection.</t>
  </si>
  <si>
    <t xml:space="preserve">DetQ — Scenario Comparison | Small / Mid / Large Team</t>
  </si>
  <si>
    <t xml:space="preserve">  Firm Size Scenarios  —  hardcoded for illustration</t>
  </si>
  <si>
    <t xml:space="preserve">Input / Metric</t>
  </si>
  <si>
    <t xml:space="preserve">Small Firm</t>
  </si>
  <si>
    <t xml:space="preserve">Mid-Size Firm</t>
  </si>
  <si>
    <t xml:space="preserve">Large Firm</t>
  </si>
  <si>
    <t xml:space="preserve">Queries per analyst per day</t>
  </si>
  <si>
    <t xml:space="preserve">Avg time per query today (min)</t>
  </si>
  <si>
    <t xml:space="preserve">Range: 5–45 min</t>
  </si>
  <si>
    <t xml:space="preserve">Analyst hourly cost ($)</t>
  </si>
  <si>
    <t xml:space="preserve">Fully loaded</t>
  </si>
  <si>
    <t xml:space="preserve">Scales with complexity</t>
  </si>
  <si>
    <t xml:space="preserve">  Calculated Outcomes</t>
  </si>
  <si>
    <t xml:space="preserve">Annual queries (firm-wide)</t>
  </si>
  <si>
    <t xml:space="preserve">Hours saved per year</t>
  </si>
  <si>
    <t xml:space="preserve">Gross value recovered ($)</t>
  </si>
  <si>
    <t xml:space="preserve">Net benefit Year 1 ($)</t>
  </si>
  <si>
    <t xml:space="preserve">After all fees</t>
  </si>
  <si>
    <t xml:space="preserve">FTE equivalent recovered</t>
  </si>
  <si>
    <t xml:space="preserve">Scenario values are illustrative. Use the ROI Calculator tab for firm-specific analysis with your actual inputs.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</si>
</sst>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&quot; min&quot;"/>
    <numFmt numFmtId="167" formatCode="#,##0&quot; hrs&quot;"/>
    <numFmt numFmtId="168" formatCode="\$#,##0"/>
    <numFmt numFmtId="169" formatCode="0.0%"/>
    <numFmt numFmtId="170" formatCode="0.0&quot; months&quot;"/>
    <numFmt numFmtId="171" formatCode="#,##0&quot; days&quot;"/>
    <numFmt numFmtId="172" formatCode="0.0&quot; FTE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10"/>
      <color rgb="FF00000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1"/>
      <color rgb="FFE94560"/>
      <name val="Cambria"/>
      <family val="0"/>
      <charset val="1"/>
    </font>
    <font>
      <i val="true"/>
      <sz val="9"/>
      <color rgb="FF888888"/>
      <name val="Cambria"/>
      <family val="0"/>
      <charset val="1"/>
    </font>
    <font>
      <b val="true"/>
      <sz val="10"/>
      <color rgb="FFE94560"/>
      <name val="Cambria"/>
      <family val="0"/>
      <charset val="1"/>
    </font>
    <font>
      <b val="true"/>
      <sz val="10"/>
      <color rgb="FF0000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F5F5F5"/>
        <bgColor rgb="FFFFF0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FFF0F3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FFF0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5" min="4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7.5" hidden="false" customHeight="true" outlineLevel="0" collapsed="false"/>
    <row r="3" customFormat="false" ht="21.75" hidden="false" customHeight="true" outlineLevel="0" collapsed="false">
      <c r="A3" s="2" t="s">
        <v>1</v>
      </c>
      <c r="B3" s="2"/>
      <c r="C3" s="2"/>
      <c r="D3" s="2"/>
      <c r="E3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/>
    </row>
    <row r="5" customFormat="false" ht="19.5" hidden="false" customHeight="true" outlineLevel="0" collapsed="false">
      <c r="A5" s="4" t="s">
        <v>6</v>
      </c>
      <c r="B5" s="5" t="n">
        <v>6</v>
      </c>
      <c r="C5" s="6" t="s">
        <v>7</v>
      </c>
      <c r="D5" s="7" t="s">
        <v>8</v>
      </c>
    </row>
    <row r="6" customFormat="false" ht="19.5" hidden="false" customHeight="true" outlineLevel="0" collapsed="false">
      <c r="A6" s="4" t="s">
        <v>9</v>
      </c>
      <c r="B6" s="5" t="n">
        <v>250</v>
      </c>
      <c r="C6" s="6" t="s">
        <v>10</v>
      </c>
      <c r="D6" s="7" t="s">
        <v>11</v>
      </c>
    </row>
    <row r="7" customFormat="false" ht="19.5" hidden="false" customHeight="true" outlineLevel="0" collapsed="false">
      <c r="A7" s="4" t="s">
        <v>12</v>
      </c>
      <c r="B7" s="5" t="n">
        <v>15</v>
      </c>
      <c r="C7" s="6" t="s">
        <v>13</v>
      </c>
      <c r="D7" s="7" t="s">
        <v>14</v>
      </c>
    </row>
    <row r="8" customFormat="false" ht="19.5" hidden="false" customHeight="true" outlineLevel="0" collapsed="false">
      <c r="A8" s="4" t="s">
        <v>15</v>
      </c>
      <c r="B8" s="5" t="n">
        <v>20</v>
      </c>
      <c r="C8" s="6" t="s">
        <v>16</v>
      </c>
      <c r="D8" s="7" t="s">
        <v>17</v>
      </c>
    </row>
    <row r="9" customFormat="false" ht="19.5" hidden="false" customHeight="true" outlineLevel="0" collapsed="false">
      <c r="A9" s="4" t="s">
        <v>18</v>
      </c>
      <c r="B9" s="5" t="n">
        <v>1</v>
      </c>
      <c r="C9" s="6" t="s">
        <v>16</v>
      </c>
      <c r="D9" s="7" t="s">
        <v>19</v>
      </c>
    </row>
    <row r="10" customFormat="false" ht="19.5" hidden="false" customHeight="true" outlineLevel="0" collapsed="false">
      <c r="A10" s="4" t="s">
        <v>20</v>
      </c>
      <c r="B10" s="5" t="n">
        <v>85</v>
      </c>
      <c r="C10" s="6" t="s">
        <v>21</v>
      </c>
      <c r="D10" s="7" t="s">
        <v>22</v>
      </c>
    </row>
    <row r="11" customFormat="false" ht="9.75" hidden="false" customHeight="true" outlineLevel="0" collapsed="false"/>
    <row r="12" customFormat="false" ht="21.75" hidden="false" customHeight="true" outlineLevel="0" collapsed="false">
      <c r="A12" s="2" t="s">
        <v>23</v>
      </c>
      <c r="B12" s="2"/>
      <c r="C12" s="2"/>
      <c r="D12" s="2"/>
      <c r="E12" s="2"/>
    </row>
    <row r="13" customFormat="false" ht="19.5" hidden="false" customHeight="true" outlineLevel="0" collapsed="false">
      <c r="A13" s="3" t="s">
        <v>2</v>
      </c>
      <c r="B13" s="3" t="s">
        <v>3</v>
      </c>
      <c r="C13" s="3" t="s">
        <v>4</v>
      </c>
      <c r="D13" s="3" t="s">
        <v>5</v>
      </c>
      <c r="E13" s="3"/>
    </row>
    <row r="14" customFormat="false" ht="19.5" hidden="false" customHeight="true" outlineLevel="0" collapsed="false">
      <c r="A14" s="4" t="s">
        <v>24</v>
      </c>
      <c r="B14" s="5" t="n">
        <v>25000</v>
      </c>
      <c r="C14" s="6" t="s">
        <v>25</v>
      </c>
      <c r="D14" s="7" t="s">
        <v>26</v>
      </c>
    </row>
    <row r="15" customFormat="false" ht="19.5" hidden="false" customHeight="true" outlineLevel="0" collapsed="false">
      <c r="A15" s="4" t="s">
        <v>27</v>
      </c>
      <c r="B15" s="5" t="n">
        <v>8000</v>
      </c>
      <c r="C15" s="6" t="s">
        <v>28</v>
      </c>
      <c r="D15" s="7" t="s">
        <v>29</v>
      </c>
    </row>
    <row r="16" customFormat="false" ht="9.75" hidden="false" customHeight="true" outlineLevel="0" collapsed="false"/>
    <row r="17" customFormat="false" ht="21.75" hidden="false" customHeight="true" outlineLevel="0" collapsed="false">
      <c r="A17" s="2" t="s">
        <v>30</v>
      </c>
      <c r="B17" s="2"/>
      <c r="C17" s="2"/>
      <c r="D17" s="2"/>
      <c r="E17" s="2"/>
    </row>
    <row r="18" customFormat="false" ht="19.5" hidden="false" customHeight="true" outlineLevel="0" collapsed="false">
      <c r="A18" s="3" t="s">
        <v>31</v>
      </c>
      <c r="B18" s="3" t="s">
        <v>3</v>
      </c>
      <c r="C18" s="3" t="s">
        <v>4</v>
      </c>
      <c r="D18" s="3" t="s">
        <v>32</v>
      </c>
      <c r="E18" s="3"/>
    </row>
    <row r="19" customFormat="false" ht="19.5" hidden="false" customHeight="true" outlineLevel="0" collapsed="false">
      <c r="A19" s="8" t="s">
        <v>33</v>
      </c>
      <c r="B19" s="9" t="n">
        <f aca="false">B5*B6*B7</f>
        <v>22500</v>
      </c>
      <c r="C19" s="10" t="s">
        <v>34</v>
      </c>
      <c r="D19" s="11"/>
    </row>
    <row r="20" customFormat="false" ht="19.5" hidden="false" customHeight="true" outlineLevel="0" collapsed="false">
      <c r="A20" s="8" t="s">
        <v>35</v>
      </c>
      <c r="B20" s="12" t="n">
        <f aca="false">B8-B9</f>
        <v>19</v>
      </c>
      <c r="C20" s="11"/>
      <c r="D20" s="11"/>
      <c r="E20" s="11"/>
    </row>
    <row r="21" customFormat="false" ht="19.5" hidden="false" customHeight="true" outlineLevel="0" collapsed="false">
      <c r="A21" s="8" t="s">
        <v>36</v>
      </c>
      <c r="B21" s="13" t="n">
        <f aca="false">B19*(B8-B9)/60</f>
        <v>7125</v>
      </c>
      <c r="C21" s="11"/>
      <c r="D21" s="11"/>
      <c r="E21" s="11"/>
    </row>
    <row r="22" customFormat="false" ht="19.5" hidden="false" customHeight="true" outlineLevel="0" collapsed="false">
      <c r="A22" s="14" t="s">
        <v>37</v>
      </c>
      <c r="B22" s="15" t="n">
        <f aca="false">B21*B10</f>
        <v>605625</v>
      </c>
      <c r="C22" s="16"/>
      <c r="D22" s="16"/>
      <c r="E22" s="16"/>
    </row>
    <row r="23" customFormat="false" ht="19.5" hidden="false" customHeight="true" outlineLevel="0" collapsed="false">
      <c r="A23" s="8" t="s">
        <v>38</v>
      </c>
      <c r="B23" s="17" t="n">
        <f aca="false">B21*B10</f>
        <v>605625</v>
      </c>
      <c r="C23" s="11"/>
      <c r="D23" s="11"/>
      <c r="E23" s="11"/>
    </row>
    <row r="24" customFormat="false" ht="19.5" hidden="false" customHeight="true" outlineLevel="0" collapsed="false">
      <c r="A24" s="14" t="s">
        <v>39</v>
      </c>
      <c r="B24" s="15" t="n">
        <f aca="false">B21*B10-B14-B15</f>
        <v>572625</v>
      </c>
      <c r="C24" s="16"/>
      <c r="D24" s="16"/>
      <c r="E24" s="16"/>
    </row>
    <row r="25" customFormat="false" ht="19.5" hidden="false" customHeight="true" outlineLevel="0" collapsed="false">
      <c r="A25" s="8" t="s">
        <v>40</v>
      </c>
      <c r="B25" s="17" t="n">
        <f aca="false">B21*B10-B15</f>
        <v>597625</v>
      </c>
      <c r="C25" s="11"/>
      <c r="D25" s="11"/>
      <c r="E25" s="11"/>
    </row>
    <row r="26" customFormat="false" ht="19.5" hidden="false" customHeight="true" outlineLevel="0" collapsed="false">
      <c r="A26" s="14" t="s">
        <v>41</v>
      </c>
      <c r="B26" s="18" t="n">
        <f aca="false">(B21*B10-B14-B15)/(B14+B15)</f>
        <v>17.3522727272727</v>
      </c>
      <c r="C26" s="16"/>
      <c r="D26" s="16"/>
      <c r="E26" s="16"/>
    </row>
    <row r="27" customFormat="false" ht="19.5" hidden="false" customHeight="true" outlineLevel="0" collapsed="false">
      <c r="A27" s="14" t="s">
        <v>42</v>
      </c>
      <c r="B27" s="19" t="n">
        <f aca="false">IF((B21*B10)&gt;0,(B14+B15)/(B21*B10)*12,"N/A")</f>
        <v>0.653869969040248</v>
      </c>
      <c r="C27" s="16"/>
      <c r="D27" s="16"/>
      <c r="E27" s="16"/>
    </row>
    <row r="28" customFormat="false" ht="9.75" hidden="false" customHeight="true" outlineLevel="0" collapsed="false"/>
    <row r="29" customFormat="false" ht="21.75" hidden="false" customHeight="true" outlineLevel="0" collapsed="false">
      <c r="A29" s="2" t="s">
        <v>43</v>
      </c>
      <c r="B29" s="2"/>
      <c r="C29" s="2"/>
      <c r="D29" s="2"/>
      <c r="E29" s="2"/>
    </row>
    <row r="30" customFormat="false" ht="19.5" hidden="false" customHeight="true" outlineLevel="0" collapsed="false">
      <c r="A30" s="3" t="s">
        <v>31</v>
      </c>
      <c r="B30" s="3" t="s">
        <v>3</v>
      </c>
      <c r="C30" s="3" t="s">
        <v>4</v>
      </c>
      <c r="D30" s="3" t="s">
        <v>32</v>
      </c>
      <c r="E30" s="3"/>
    </row>
    <row r="31" customFormat="false" ht="19.5" hidden="false" customHeight="true" outlineLevel="0" collapsed="false">
      <c r="A31" s="8" t="s">
        <v>44</v>
      </c>
      <c r="B31" s="20" t="n">
        <f aca="false">B21/8</f>
        <v>890.625</v>
      </c>
      <c r="C31" s="11"/>
      <c r="D31" s="11"/>
      <c r="E31" s="11"/>
    </row>
    <row r="32" customFormat="false" ht="19.5" hidden="false" customHeight="true" outlineLevel="0" collapsed="false">
      <c r="A32" s="14" t="s">
        <v>45</v>
      </c>
      <c r="B32" s="21" t="n">
        <f aca="false">B21/(B6*8)</f>
        <v>3.5625</v>
      </c>
      <c r="C32" s="16"/>
      <c r="D32" s="16"/>
      <c r="E32" s="16"/>
    </row>
    <row r="33" customFormat="false" ht="19.5" hidden="false" customHeight="true" outlineLevel="0" collapsed="false">
      <c r="A33" s="8" t="s">
        <v>46</v>
      </c>
      <c r="B33" s="22" t="n">
        <f aca="false">B21/(B5*B6*8)</f>
        <v>0.59375</v>
      </c>
      <c r="C33" s="11"/>
      <c r="D33" s="11"/>
      <c r="E33" s="11"/>
    </row>
    <row r="34" customFormat="false" ht="9.75" hidden="false" customHeight="true" outlineLevel="0" collapsed="false"/>
    <row r="35" customFormat="false" ht="15" hidden="false" customHeight="true" outlineLevel="0" collapsed="false">
      <c r="A35" s="23" t="s">
        <v>47</v>
      </c>
      <c r="B35" s="23"/>
      <c r="C35" s="23"/>
      <c r="D35" s="23"/>
      <c r="E35" s="23"/>
    </row>
  </sheetData>
  <mergeCells count="6">
    <mergeCell ref="A1:E1"/>
    <mergeCell ref="A3:E3"/>
    <mergeCell ref="A12:E12"/>
    <mergeCell ref="A17:E17"/>
    <mergeCell ref="A29:E29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20"/>
  </cols>
  <sheetData>
    <row r="1" customFormat="false" ht="36" hidden="false" customHeight="true" outlineLevel="0" collapsed="false">
      <c r="A1" s="1" t="s">
        <v>48</v>
      </c>
      <c r="B1" s="1"/>
      <c r="C1" s="1"/>
      <c r="D1" s="1"/>
      <c r="E1" s="1"/>
    </row>
    <row r="2" customFormat="false" ht="7.5" hidden="false" customHeight="true" outlineLevel="0" collapsed="false"/>
    <row r="3" customFormat="false" ht="21.75" hidden="false" customHeight="true" outlineLevel="0" collapsed="false">
      <c r="A3" s="2" t="s">
        <v>49</v>
      </c>
      <c r="B3" s="2"/>
      <c r="C3" s="2"/>
      <c r="D3" s="2"/>
      <c r="E3" s="2"/>
    </row>
    <row r="4" customFormat="false" ht="19.5" hidden="false" customHeight="true" outlineLevel="0" collapsed="false">
      <c r="A4" s="3" t="s">
        <v>31</v>
      </c>
      <c r="B4" s="3" t="s">
        <v>50</v>
      </c>
      <c r="C4" s="3" t="s">
        <v>51</v>
      </c>
      <c r="D4" s="3" t="s">
        <v>52</v>
      </c>
      <c r="E4" s="3" t="s">
        <v>53</v>
      </c>
    </row>
    <row r="5" customFormat="false" ht="19.5" hidden="false" customHeight="true" outlineLevel="0" collapsed="false">
      <c r="A5" s="4" t="s">
        <v>54</v>
      </c>
      <c r="B5" s="24" t="n">
        <f aca="false">'ROI Calculator'!B21</f>
        <v>7125</v>
      </c>
      <c r="C5" s="24" t="n">
        <f aca="false">'ROI Calculator'!B21</f>
        <v>7125</v>
      </c>
      <c r="D5" s="24" t="n">
        <f aca="false">'ROI Calculator'!B21</f>
        <v>7125</v>
      </c>
      <c r="E5" s="24" t="n">
        <f aca="false">B5+C5+D5</f>
        <v>21375</v>
      </c>
    </row>
    <row r="6" customFormat="false" ht="19.5" hidden="false" customHeight="true" outlineLevel="0" collapsed="false">
      <c r="A6" s="4" t="s">
        <v>55</v>
      </c>
      <c r="B6" s="17" t="n">
        <f aca="false">'ROI Calculator'!B22</f>
        <v>605625</v>
      </c>
      <c r="C6" s="17" t="n">
        <f aca="false">'ROI Calculator'!B23</f>
        <v>605625</v>
      </c>
      <c r="D6" s="17" t="n">
        <f aca="false">'ROI Calculator'!B23</f>
        <v>605625</v>
      </c>
      <c r="E6" s="17" t="n">
        <f aca="false">B6+C6+D6</f>
        <v>1816875</v>
      </c>
    </row>
    <row r="7" customFormat="false" ht="19.5" hidden="false" customHeight="true" outlineLevel="0" collapsed="false">
      <c r="A7" s="4" t="s">
        <v>56</v>
      </c>
      <c r="B7" s="17" t="n">
        <f aca="false">'ROI Calculator'!B14</f>
        <v>25000</v>
      </c>
      <c r="C7" s="17" t="s">
        <v>57</v>
      </c>
      <c r="D7" s="17" t="s">
        <v>57</v>
      </c>
      <c r="E7" s="17" t="n">
        <f aca="false">B7+C7+D7</f>
        <v>25000</v>
      </c>
    </row>
    <row r="8" customFormat="false" ht="19.5" hidden="false" customHeight="true" outlineLevel="0" collapsed="false">
      <c r="A8" s="4" t="s">
        <v>58</v>
      </c>
      <c r="B8" s="17" t="n">
        <f aca="false">'ROI Calculator'!B15</f>
        <v>8000</v>
      </c>
      <c r="C8" s="17" t="n">
        <f aca="false">'ROI Calculator'!B15</f>
        <v>8000</v>
      </c>
      <c r="D8" s="17" t="n">
        <f aca="false">'ROI Calculator'!B15</f>
        <v>8000</v>
      </c>
      <c r="E8" s="17" t="n">
        <f aca="false">B8+C8+D8</f>
        <v>24000</v>
      </c>
    </row>
    <row r="9" customFormat="false" ht="19.5" hidden="false" customHeight="true" outlineLevel="0" collapsed="false">
      <c r="A9" s="4" t="s">
        <v>59</v>
      </c>
      <c r="B9" s="17" t="n">
        <f aca="false">B7+B8</f>
        <v>33000</v>
      </c>
      <c r="C9" s="17" t="n">
        <f aca="false">C7+C8</f>
        <v>8000</v>
      </c>
      <c r="D9" s="17" t="n">
        <f aca="false">D7+D8</f>
        <v>8000</v>
      </c>
      <c r="E9" s="17" t="n">
        <f aca="false">B9+C9+D9</f>
        <v>49000</v>
      </c>
    </row>
    <row r="10" customFormat="false" ht="19.5" hidden="false" customHeight="true" outlineLevel="0" collapsed="false">
      <c r="A10" s="14" t="s">
        <v>60</v>
      </c>
      <c r="B10" s="25" t="n">
        <f aca="false">B6-B9</f>
        <v>572625</v>
      </c>
      <c r="C10" s="25" t="n">
        <f aca="false">C6-C9</f>
        <v>597625</v>
      </c>
      <c r="D10" s="25" t="n">
        <f aca="false">D6-D9</f>
        <v>597625</v>
      </c>
      <c r="E10" s="25" t="n">
        <f aca="false">B10+C10+D10</f>
        <v>1767875</v>
      </c>
    </row>
    <row r="11" customFormat="false" ht="19.5" hidden="false" customHeight="true" outlineLevel="0" collapsed="false">
      <c r="A11" s="14" t="s">
        <v>61</v>
      </c>
      <c r="B11" s="25" t="n">
        <f aca="false">B10</f>
        <v>572625</v>
      </c>
      <c r="C11" s="25" t="n">
        <f aca="false">B11+C10</f>
        <v>1170250</v>
      </c>
      <c r="D11" s="25" t="n">
        <f aca="false">C11+D10</f>
        <v>1767875</v>
      </c>
      <c r="E11" s="25"/>
    </row>
    <row r="12" customFormat="false" ht="19.5" hidden="false" customHeight="true" outlineLevel="0" collapsed="false">
      <c r="A12" s="14" t="s">
        <v>62</v>
      </c>
      <c r="B12" s="26" t="n">
        <f aca="false">IF(B9&gt;0,(B6-B9)/B9,"N/A")</f>
        <v>17.3522727272727</v>
      </c>
      <c r="C12" s="26" t="n">
        <f aca="false">IF(C9&gt;0,(C6-C9)/C9,"N/A")</f>
        <v>74.703125</v>
      </c>
      <c r="D12" s="26" t="n">
        <f aca="false">IF(D9&gt;0,(D6-D9)/D9,"N/A")</f>
        <v>74.703125</v>
      </c>
      <c r="E12" s="26"/>
    </row>
    <row r="14" customFormat="false" ht="9.75" hidden="false" customHeight="true" outlineLevel="0" collapsed="false"/>
    <row r="15" customFormat="false" ht="15" hidden="false" customHeight="true" outlineLevel="0" collapsed="false">
      <c r="A15" s="23" t="s">
        <v>63</v>
      </c>
      <c r="B15" s="23"/>
      <c r="C15" s="23"/>
      <c r="D15" s="23"/>
      <c r="E15" s="23"/>
    </row>
  </sheetData>
  <mergeCells count="3">
    <mergeCell ref="A1:E1"/>
    <mergeCell ref="A3:E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0"/>
  </cols>
  <sheetData>
    <row r="1" customFormat="false" ht="36" hidden="false" customHeight="true" outlineLevel="0" collapsed="false">
      <c r="A1" s="1" t="s">
        <v>64</v>
      </c>
      <c r="B1" s="1"/>
      <c r="C1" s="1"/>
      <c r="D1" s="1"/>
      <c r="E1" s="1"/>
    </row>
    <row r="2" customFormat="false" ht="7.5" hidden="false" customHeight="true" outlineLevel="0" collapsed="false"/>
    <row r="3" customFormat="false" ht="21.75" hidden="false" customHeight="true" outlineLevel="0" collapsed="false">
      <c r="A3" s="2" t="s">
        <v>65</v>
      </c>
      <c r="B3" s="2"/>
      <c r="C3" s="2"/>
      <c r="D3" s="2"/>
      <c r="E3" s="2"/>
    </row>
    <row r="4" customFormat="false" ht="19.5" hidden="false" customHeight="true" outlineLevel="0" collapsed="false">
      <c r="A4" s="3" t="s">
        <v>66</v>
      </c>
      <c r="B4" s="3" t="s">
        <v>67</v>
      </c>
      <c r="C4" s="3" t="s">
        <v>68</v>
      </c>
      <c r="D4" s="3" t="s">
        <v>69</v>
      </c>
      <c r="E4" s="3" t="s">
        <v>32</v>
      </c>
    </row>
    <row r="5" customFormat="false" ht="19.5" hidden="false" customHeight="true" outlineLevel="0" collapsed="false">
      <c r="A5" s="4" t="s">
        <v>6</v>
      </c>
      <c r="B5" s="27" t="n">
        <v>4</v>
      </c>
      <c r="C5" s="27" t="n">
        <v>8</v>
      </c>
      <c r="D5" s="27" t="n">
        <v>15</v>
      </c>
      <c r="E5" s="7"/>
    </row>
    <row r="6" customFormat="false" ht="19.5" hidden="false" customHeight="true" outlineLevel="0" collapsed="false">
      <c r="A6" s="4" t="s">
        <v>70</v>
      </c>
      <c r="B6" s="27" t="n">
        <v>12</v>
      </c>
      <c r="C6" s="27" t="n">
        <v>18</v>
      </c>
      <c r="D6" s="27" t="n">
        <v>25</v>
      </c>
      <c r="E6" s="7"/>
    </row>
    <row r="7" customFormat="false" ht="19.5" hidden="false" customHeight="true" outlineLevel="0" collapsed="false">
      <c r="A7" s="4" t="s">
        <v>71</v>
      </c>
      <c r="B7" s="27" t="n">
        <v>15</v>
      </c>
      <c r="C7" s="27" t="n">
        <v>20</v>
      </c>
      <c r="D7" s="27" t="n">
        <v>25</v>
      </c>
      <c r="E7" s="7" t="s">
        <v>72</v>
      </c>
    </row>
    <row r="8" customFormat="false" ht="19.5" hidden="false" customHeight="true" outlineLevel="0" collapsed="false">
      <c r="A8" s="4" t="s">
        <v>73</v>
      </c>
      <c r="B8" s="27" t="n">
        <v>75</v>
      </c>
      <c r="C8" s="27" t="n">
        <v>90</v>
      </c>
      <c r="D8" s="27" t="n">
        <v>110</v>
      </c>
      <c r="E8" s="7" t="s">
        <v>74</v>
      </c>
    </row>
    <row r="9" customFormat="false" ht="19.5" hidden="false" customHeight="true" outlineLevel="0" collapsed="false">
      <c r="A9" s="4" t="s">
        <v>56</v>
      </c>
      <c r="B9" s="27" t="n">
        <v>18000</v>
      </c>
      <c r="C9" s="27" t="n">
        <v>28000</v>
      </c>
      <c r="D9" s="27" t="n">
        <v>45000</v>
      </c>
      <c r="E9" s="7" t="s">
        <v>75</v>
      </c>
    </row>
    <row r="10" customFormat="false" ht="19.5" hidden="false" customHeight="true" outlineLevel="0" collapsed="false">
      <c r="A10" s="4" t="s">
        <v>58</v>
      </c>
      <c r="B10" s="27" t="n">
        <v>5000</v>
      </c>
      <c r="C10" s="27" t="n">
        <v>8000</v>
      </c>
      <c r="D10" s="27" t="n">
        <v>14000</v>
      </c>
      <c r="E10" s="7"/>
    </row>
    <row r="11" customFormat="false" ht="9.75" hidden="false" customHeight="true" outlineLevel="0" collapsed="false"/>
    <row r="12" customFormat="false" ht="21.75" hidden="false" customHeight="true" outlineLevel="0" collapsed="false">
      <c r="A12" s="2" t="s">
        <v>76</v>
      </c>
      <c r="B12" s="2"/>
      <c r="C12" s="2"/>
      <c r="D12" s="2"/>
      <c r="E12" s="2"/>
    </row>
    <row r="13" customFormat="false" ht="19.5" hidden="false" customHeight="true" outlineLevel="0" collapsed="false">
      <c r="A13" s="3" t="s">
        <v>31</v>
      </c>
      <c r="B13" s="3" t="s">
        <v>67</v>
      </c>
      <c r="C13" s="3" t="s">
        <v>68</v>
      </c>
      <c r="D13" s="3" t="s">
        <v>69</v>
      </c>
      <c r="E13" s="3"/>
    </row>
    <row r="14" customFormat="false" ht="19.5" hidden="false" customHeight="true" outlineLevel="0" collapsed="false">
      <c r="A14" s="4" t="s">
        <v>77</v>
      </c>
      <c r="B14" s="24" t="n">
        <f aca="false">B5*250*B6</f>
        <v>12000</v>
      </c>
      <c r="C14" s="24" t="n">
        <f aca="false">C5*250*C6</f>
        <v>36000</v>
      </c>
      <c r="D14" s="24" t="n">
        <f aca="false">D5*250*D6</f>
        <v>93750</v>
      </c>
      <c r="E14" s="28"/>
    </row>
    <row r="15" customFormat="false" ht="19.5" hidden="false" customHeight="true" outlineLevel="0" collapsed="false">
      <c r="A15" s="4" t="s">
        <v>78</v>
      </c>
      <c r="B15" s="13" t="n">
        <f aca="false">B5*250*B6*(B7-1)/60</f>
        <v>2800</v>
      </c>
      <c r="C15" s="13" t="n">
        <f aca="false">C5*250*C6*(C7-1)/60</f>
        <v>11400</v>
      </c>
      <c r="D15" s="13" t="n">
        <f aca="false">D5*250*D6*(D7-1)/60</f>
        <v>37500</v>
      </c>
      <c r="E15" s="28"/>
    </row>
    <row r="16" customFormat="false" ht="19.5" hidden="false" customHeight="true" outlineLevel="0" collapsed="false">
      <c r="A16" s="4" t="s">
        <v>79</v>
      </c>
      <c r="B16" s="17" t="n">
        <f aca="false">B5*250*B6*(B7-1)/60*B8</f>
        <v>210000</v>
      </c>
      <c r="C16" s="17" t="n">
        <f aca="false">C5*250*C6*(C7-1)/60*C8</f>
        <v>1026000</v>
      </c>
      <c r="D16" s="17" t="n">
        <f aca="false">D5*250*D6*(D7-1)/60*D8</f>
        <v>4125000</v>
      </c>
      <c r="E16" s="28" t="s">
        <v>50</v>
      </c>
    </row>
    <row r="17" customFormat="false" ht="19.5" hidden="false" customHeight="true" outlineLevel="0" collapsed="false">
      <c r="A17" s="14" t="s">
        <v>80</v>
      </c>
      <c r="B17" s="25" t="n">
        <f aca="false">B5*250*B6*(B7-1)/60*B8-B9-B10</f>
        <v>187000</v>
      </c>
      <c r="C17" s="25" t="n">
        <f aca="false">C5*250*C6*(C7-1)/60*C8-C9-C10</f>
        <v>990000</v>
      </c>
      <c r="D17" s="25" t="n">
        <f aca="false">D5*250*D6*(D7-1)/60*D8-D9-D10</f>
        <v>4066000</v>
      </c>
      <c r="E17" s="29" t="s">
        <v>81</v>
      </c>
    </row>
    <row r="18" customFormat="false" ht="19.5" hidden="false" customHeight="true" outlineLevel="0" collapsed="false">
      <c r="A18" s="14" t="s">
        <v>41</v>
      </c>
      <c r="B18" s="26" t="n">
        <f aca="false">IF((B9+B10)&gt;0,(B5*250*B6*(B7-1)/60*B8-(B9+B10))/(B9+B10),"N/A")</f>
        <v>8.1304347826087</v>
      </c>
      <c r="C18" s="26" t="n">
        <f aca="false">IF((C9+C10)&gt;0,(C5*250*C6*(C7-1)/60*C8-(C9+C10))/(C9+C10),"N/A")</f>
        <v>27.5</v>
      </c>
      <c r="D18" s="26" t="n">
        <f aca="false">IF((D9+D10)&gt;0,(D5*250*D6*(D7-1)/60*D8-(D9+D10))/(D9+D10),"N/A")</f>
        <v>68.9152542372881</v>
      </c>
      <c r="E18" s="29"/>
    </row>
    <row r="19" customFormat="false" ht="19.5" hidden="false" customHeight="true" outlineLevel="0" collapsed="false">
      <c r="A19" s="14" t="s">
        <v>42</v>
      </c>
      <c r="B19" s="30" t="n">
        <f aca="false">IF((B5*250*B6*(B7-1)/60*B8)&gt;0,(B9+B10)/(B5*250*B6*(B7-1)/60*B8)*12,"N/A")</f>
        <v>1.31428571428571</v>
      </c>
      <c r="C19" s="30" t="n">
        <f aca="false">IF((C5*250*C6*(C7-1)/60*C8)&gt;0,(C9+C10)/(C5*250*C6*(C7-1)/60*C8)*12,"N/A")</f>
        <v>0.421052631578947</v>
      </c>
      <c r="D19" s="30" t="n">
        <f aca="false">IF((D5*250*D6*(D7-1)/60*D8)&gt;0,(D9+D10)/(D5*250*D6*(D7-1)/60*D8)*12,"N/A")</f>
        <v>0.171636363636364</v>
      </c>
      <c r="E19" s="29"/>
    </row>
    <row r="20" customFormat="false" ht="19.5" hidden="false" customHeight="true" outlineLevel="0" collapsed="false">
      <c r="A20" s="4" t="s">
        <v>82</v>
      </c>
      <c r="B20" s="31" t="n">
        <f aca="false">B5*250*B6*(B7-1)/60/(250*8)</f>
        <v>1.4</v>
      </c>
      <c r="C20" s="31" t="n">
        <f aca="false">C5*250*C6*(C7-1)/60/(250*8)</f>
        <v>5.7</v>
      </c>
      <c r="D20" s="31" t="n">
        <f aca="false">D5*250*D6*(D7-1)/60/(250*8)</f>
        <v>18.75</v>
      </c>
      <c r="E20" s="28"/>
    </row>
    <row r="22" customFormat="false" ht="9.75" hidden="false" customHeight="true" outlineLevel="0" collapsed="false"/>
    <row r="23" customFormat="false" ht="15" hidden="false" customHeight="true" outlineLevel="0" collapsed="false">
      <c r="A23" s="23" t="s">
        <v>83</v>
      </c>
      <c r="B23" s="23"/>
      <c r="C23" s="23"/>
      <c r="D23" s="23"/>
      <c r="E23" s="23"/>
    </row>
  </sheetData>
  <mergeCells count="4">
    <mergeCell ref="A1:E1"/>
    <mergeCell ref="A3:E3"/>
    <mergeCell ref="A12:E1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2026-06-04T09:22:37Z</dcterms:created>
  <dc:creator>openpyxl</dc:creator>
  <dc:description/>
  <dc:language>en-US</dc:language>
  <cp:lastModifiedBy/>
  <dcterms:modified xsi:type="dcterms:W3CDTF">2026-06-04T09:22:37Z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